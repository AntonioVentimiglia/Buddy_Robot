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timaj/Desktop/Buddy_Robot/docs/financials/"/>
    </mc:Choice>
  </mc:AlternateContent>
  <xr:revisionPtr revIDLastSave="0" documentId="13_ncr:1_{8EC67528-1D7D-7648-B01A-9D76E04AFC14}" xr6:coauthVersionLast="47" xr6:coauthVersionMax="47" xr10:uidLastSave="{00000000-0000-0000-0000-000000000000}"/>
  <bookViews>
    <workbookView xWindow="0" yWindow="660" windowWidth="29040" windowHeight="15720" xr2:uid="{C64966AC-B3BB-9844-956C-858996BC2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F3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4" i="1"/>
  <c r="T25" i="1" l="1"/>
  <c r="T26" i="1" s="1"/>
</calcChain>
</file>

<file path=xl/sharedStrings.xml><?xml version="1.0" encoding="utf-8"?>
<sst xmlns="http://schemas.openxmlformats.org/spreadsheetml/2006/main" count="105" uniqueCount="63">
  <si>
    <t>Descriptive Part Name</t>
  </si>
  <si>
    <t>Total Qty Required</t>
  </si>
  <si>
    <t>Qty Purchased</t>
  </si>
  <si>
    <t>Unit Cost</t>
  </si>
  <si>
    <t>Total Spent</t>
  </si>
  <si>
    <t>Part Status</t>
  </si>
  <si>
    <t>Vendor</t>
  </si>
  <si>
    <t>Vendor’s Part #</t>
  </si>
  <si>
    <t>Manuf.</t>
  </si>
  <si>
    <t>Manuf. Part #</t>
  </si>
  <si>
    <t>Key Features / Specs</t>
  </si>
  <si>
    <t>URL</t>
  </si>
  <si>
    <t>More Info</t>
  </si>
  <si>
    <t>-</t>
  </si>
  <si>
    <t>N/A</t>
  </si>
  <si>
    <t xml:space="preserve"> </t>
  </si>
  <si>
    <t>To be Manufactured</t>
  </si>
  <si>
    <t>Received/Delivered</t>
  </si>
  <si>
    <t>Amazon</t>
  </si>
  <si>
    <t>Partially Ordered</t>
  </si>
  <si>
    <t>Legend</t>
  </si>
  <si>
    <t>Purchase Status Drop Down List Options</t>
  </si>
  <si>
    <t xml:space="preserve"> = Cell calculated from Formula</t>
  </si>
  <si>
    <t>In Shipping</t>
  </si>
  <si>
    <t>Blocked by Testing</t>
  </si>
  <si>
    <t>To be Ordered</t>
  </si>
  <si>
    <t>Order Pending</t>
  </si>
  <si>
    <t>Need Replacement</t>
  </si>
  <si>
    <t>Total Budget:</t>
  </si>
  <si>
    <t>Total Spent:</t>
  </si>
  <si>
    <t>Remainder</t>
  </si>
  <si>
    <t>Jetson Orin Nano Super</t>
  </si>
  <si>
    <t xml:space="preserve"> https://www.amazon.com/KingSpec-256GB-NVMe-Gen3x4-2280/dp/B0D1R7HDJF/ref=cm_cr_arp_d_product_top?ie=UTF8&amp;th=1</t>
  </si>
  <si>
    <t>Up to 2400MB/s, Internal Solid State Drive with 3D NAND Flash, Compatible with Desktop and Laptop</t>
  </si>
  <si>
    <t>B0D1R7HDJF</t>
  </si>
  <si>
    <t>KingSpec</t>
  </si>
  <si>
    <t>SSD 256GB, M.2 NVMe Gen3x4 SSD 2280</t>
  </si>
  <si>
    <t>KingSpec NVMe SSD</t>
  </si>
  <si>
    <t>NVIDIA</t>
  </si>
  <si>
    <t>SBC</t>
  </si>
  <si>
    <t>https://marketplace.nvidia.com/en-us/enterprise/robotics-edge/jetson-orin-nano-super-developer-kit/</t>
  </si>
  <si>
    <t xml:space="preserve"> &gt;   AI Performance: 67 TOPS
&gt;   GPU: NVIDIA Ampere architecture with 1024 CUDA cores and 32 tensor cores
&gt;   Power: 7W-25W</t>
  </si>
  <si>
    <t>Switch</t>
  </si>
  <si>
    <t>Relays</t>
  </si>
  <si>
    <t>Fuses</t>
  </si>
  <si>
    <t>3D Printer</t>
  </si>
  <si>
    <t>Voltage Regulators</t>
  </si>
  <si>
    <t>Buck Converters</t>
  </si>
  <si>
    <t>E-Stop Button</t>
  </si>
  <si>
    <t>ESP or STM or Teensy</t>
  </si>
  <si>
    <t>Power supply</t>
  </si>
  <si>
    <t>Oscilloscope</t>
  </si>
  <si>
    <t>Solder Fan</t>
  </si>
  <si>
    <t>Date Ordered</t>
  </si>
  <si>
    <t>Date Received</t>
  </si>
  <si>
    <t>Shipping Link / ID</t>
  </si>
  <si>
    <t xml:space="preserve"> https://marketplace.nvidia.com/en-us/account/?action=order_status</t>
  </si>
  <si>
    <t>https://vilros.com/checkouts/cn/hWNDusRMj6K85SvbVymcHVwX/en-us/thank-you?_r=AQAB7h_DkKdOij4QCTKGVr0PRReXfvMecmpbJS9B46CuraA&amp;skip_shop_pay=true</t>
  </si>
  <si>
    <t>https://vilros.com/products/vilros-soldering-iron-kit-electronics-14-in-1-60w-adjustable-temperature-soldering-iron-with-on-off-switch-5pcs-soldering-iron-tips-desoldering-pump-tweezers-stand-solder-pu-carry-bag?variant=31184817684574&amp;country=US&amp;currency=USD&amp;utm_medium=product_sync&amp;utm_source=google&amp;utm_content=sag_organic&amp;utm_campaign=sag_organic&amp;tw_source=google&amp;tw_adid=&amp;tw_campaign=18070425970&amp;gad_source=1&amp;gad_campaignid=17177576781&amp;gbraid=0AAAAAD1QJAhpwOz4TG9imhRizOjsiF33r&amp;gclid=Cj0KCQjwr4jSBhCSARIsAOX1E-IcDf7VArvc12fU96XQu_eogR6Cku3p0W322S9UE6enAxh-gCdhcRkaApEYEALw_wcB</t>
  </si>
  <si>
    <t>Soldering Iron Kit Electronics, 14-in-1 60w Adjustable Temperature Soldering Iron, 5pcs Soldering Iron Tips, Desoldering Pump, Tweezers, Stand, Solder, PU Carry Bag</t>
  </si>
  <si>
    <t>Already Owned</t>
  </si>
  <si>
    <t>MicroSD Card (32 GB)</t>
  </si>
  <si>
    <t>MicroSD to USB-B to USB-A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</si>
</sst>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theme="10"/>
      <name val="Times New Roman"/>
      <family val="1"/>
    </font>
    <font>
      <u/>
      <sz val="10"/>
      <color theme="10"/>
      <name val="Times New Roman"/>
      <family val="1"/>
    </font>
    <font>
      <b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E1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93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/>
    <xf numFmtId="0" fontId="4" fillId="2" borderId="10" xfId="0" applyFont="1" applyFill="1" applyBorder="1"/>
    <xf numFmtId="0" fontId="4" fillId="0" borderId="10" xfId="0" quotePrefix="1" applyFont="1" applyBorder="1" applyAlignment="1">
      <alignment vertical="center"/>
    </xf>
    <xf numFmtId="0" fontId="7" fillId="12" borderId="11" xfId="0" applyFont="1" applyFill="1" applyBorder="1"/>
    <xf numFmtId="44" fontId="4" fillId="0" borderId="12" xfId="0" applyNumberFormat="1" applyFont="1" applyBorder="1"/>
    <xf numFmtId="0" fontId="7" fillId="12" borderId="13" xfId="0" applyFont="1" applyFill="1" applyBorder="1"/>
    <xf numFmtId="44" fontId="4" fillId="2" borderId="14" xfId="0" applyNumberFormat="1" applyFont="1" applyFill="1" applyBorder="1"/>
    <xf numFmtId="0" fontId="7" fillId="12" borderId="15" xfId="0" applyFont="1" applyFill="1" applyBorder="1"/>
    <xf numFmtId="44" fontId="4" fillId="2" borderId="16" xfId="0" applyNumberFormat="1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4" fontId="4" fillId="0" borderId="5" xfId="1" applyFont="1" applyFill="1" applyBorder="1" applyAlignment="1">
      <alignment vertical="center"/>
    </xf>
    <xf numFmtId="44" fontId="4" fillId="2" borderId="3" xfId="1" applyFont="1" applyFill="1" applyBorder="1" applyAlignment="1">
      <alignment vertical="center"/>
    </xf>
    <xf numFmtId="0" fontId="5" fillId="0" borderId="5" xfId="2" applyFont="1" applyFill="1" applyBorder="1" applyAlignment="1">
      <alignment horizontal="left" vertical="center"/>
    </xf>
    <xf numFmtId="44" fontId="4" fillId="0" borderId="3" xfId="1" applyFont="1" applyFill="1" applyBorder="1" applyAlignment="1">
      <alignment vertical="center"/>
    </xf>
    <xf numFmtId="0" fontId="2" fillId="0" borderId="3" xfId="2" applyFill="1" applyBorder="1" applyAlignment="1">
      <alignment horizontal="left" vertical="center"/>
    </xf>
    <xf numFmtId="0" fontId="6" fillId="0" borderId="5" xfId="2" applyFont="1" applyFill="1" applyBorder="1" applyAlignment="1">
      <alignment horizontal="left" vertical="center"/>
    </xf>
    <xf numFmtId="0" fontId="5" fillId="0" borderId="5" xfId="2" applyFont="1" applyBorder="1" applyAlignment="1">
      <alignment horizontal="left" vertical="center"/>
    </xf>
    <xf numFmtId="0" fontId="2" fillId="0" borderId="5" xfId="2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44" fontId="4" fillId="0" borderId="7" xfId="1" applyFont="1" applyFill="1" applyBorder="1" applyAlignment="1">
      <alignment vertical="center"/>
    </xf>
    <xf numFmtId="44" fontId="4" fillId="2" borderId="6" xfId="1" applyFont="1" applyFill="1" applyBorder="1" applyAlignment="1">
      <alignment vertical="center"/>
    </xf>
    <xf numFmtId="0" fontId="6" fillId="0" borderId="7" xfId="2" applyFont="1" applyFill="1" applyBorder="1" applyAlignment="1">
      <alignment horizontal="left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4" fontId="4" fillId="0" borderId="3" xfId="0" quotePrefix="1" applyNumberFormat="1" applyFont="1" applyBorder="1" applyAlignment="1">
      <alignment horizontal="center" vertical="center"/>
    </xf>
    <xf numFmtId="0" fontId="5" fillId="0" borderId="3" xfId="2" applyFont="1" applyFill="1" applyBorder="1" applyAlignment="1">
      <alignment horizontal="left" vertical="center"/>
    </xf>
    <xf numFmtId="0" fontId="6" fillId="0" borderId="3" xfId="2" applyFont="1" applyFill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6" fillId="0" borderId="6" xfId="2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0" fontId="4" fillId="13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19"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A933"/>
        </patternFill>
      </fill>
    </dxf>
    <dxf>
      <fill>
        <patternFill>
          <bgColor rgb="FFFF9999"/>
        </patternFill>
      </fill>
    </dxf>
    <dxf>
      <fill>
        <patternFill>
          <bgColor rgb="FFFF2600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D1D1D1"/>
        </patternFill>
      </fill>
    </dxf>
    <dxf>
      <fill>
        <patternFill>
          <bgColor rgb="FFDAF2D0"/>
        </patternFill>
      </fill>
    </dxf>
    <dxf>
      <fill>
        <patternFill>
          <bgColor rgb="FFFFFFCC"/>
        </patternFill>
      </fill>
    </dxf>
    <dxf>
      <fill>
        <patternFill>
          <bgColor rgb="FFCAEDFB"/>
        </patternFill>
      </fill>
    </dxf>
    <dxf>
      <fill>
        <patternFill>
          <bgColor rgb="FFFCE3D5"/>
        </patternFill>
      </fill>
    </dxf>
    <dxf>
      <fill>
        <patternFill>
          <bgColor rgb="FFFAA934"/>
        </patternFill>
      </fill>
    </dxf>
    <dxf>
      <fill>
        <patternFill>
          <bgColor rgb="FFF8999A"/>
        </patternFill>
      </fill>
    </dxf>
    <dxf>
      <fill>
        <patternFill>
          <bgColor rgb="FFF52601"/>
        </patternFill>
      </fill>
    </dxf>
    <dxf>
      <fill>
        <patternFill>
          <bgColor rgb="FFF2CEF0"/>
        </patternFill>
      </fill>
    </dxf>
    <dxf>
      <fill>
        <patternFill>
          <bgColor rgb="FF99FFCC"/>
        </patternFill>
      </fill>
    </dxf>
  </dxfs>
  <tableStyles count="0" defaultTableStyle="TableStyleMedium2" defaultPivotStyle="PivotStyleLight16"/>
  <colors>
    <mruColors>
      <color rgb="FF99FFCC"/>
      <color rgb="FFCCFFCC"/>
      <color rgb="FF66FF99"/>
      <color rgb="FF00FF00"/>
      <color rgb="FF777777"/>
      <color rgb="FFD1D1D1"/>
      <color rgb="FFF2CEF0"/>
      <color rgb="FFF52601"/>
      <color rgb="FFF8999A"/>
      <color rgb="FFFAA9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rketplace.nvidia.com/en-us/account/?action=order_status" TargetMode="External"/><Relationship Id="rId2" Type="http://schemas.openxmlformats.org/officeDocument/2006/relationships/hyperlink" Target="https://www.amazon.com/KingSpec-256GB-NVMe-Gen3x4-2280/dp/B0D1R7HDJF/ref=cm_cr_arp_d_product_top?ie=UTF8&amp;th=1" TargetMode="External"/><Relationship Id="rId1" Type="http://schemas.openxmlformats.org/officeDocument/2006/relationships/hyperlink" Target="https://marketplace.nvidia.com/en-us/enterprise/robotics-edge/jetson-orin-nano-super-developer-kit/" TargetMode="External"/><Relationship Id="rId5" Type="http://schemas.openxmlformats.org/officeDocument/2006/relationships/hyperlink" Target="https://vilros.com/products/vilros-soldering-iron-kit-electronics-14-in-1-60w-adjustable-temperature-soldering-iron-with-on-off-switch-5pcs-soldering-iron-tips-desoldering-pump-tweezers-stand-solder-pu-carry-bag?variant=31184817684574&amp;country=US&amp;currency=USD&amp;utm_medium=product_sync&amp;utm_source=google&amp;utm_content=sag_organic&amp;utm_campaign=sag_organic&amp;tw_source=google&amp;tw_adid=&amp;tw_campaign=18070425970&amp;gad_source=1&amp;gad_campaignid=17177576781&amp;gbraid=0AAAAAD1QJAhpwOz4TG9imhRizOjsiF33r&amp;gclid=Cj0KCQjwr4jSBhCSARIsAOX1E-IcDf7VArvc12fU96XQu_eogR6Cku3p0W322S9UE6enAxh-gCdhcRkaApEYEALw_wcB" TargetMode="External"/><Relationship Id="rId4" Type="http://schemas.openxmlformats.org/officeDocument/2006/relationships/hyperlink" Target="https://vilros.com/checkouts/cn/hWNDusRMj6K85SvbVymcHVwX/en-us/thank-you?_r=AQAB7h_DkKdOij4QCTKGVr0PRReXfvMecmpbJS9B46CuraA&amp;skip_shop_pay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9B8B-F33B-1140-8548-5838830ED406}">
  <dimension ref="B1:V37"/>
  <sheetViews>
    <sheetView tabSelected="1" zoomScale="112" zoomScaleNormal="85" workbookViewId="0">
      <selection activeCell="H5" sqref="H5"/>
    </sheetView>
  </sheetViews>
  <sheetFormatPr baseColWidth="10" defaultColWidth="11" defaultRowHeight="16" x14ac:dyDescent="0.2"/>
  <cols>
    <col min="2" max="2" width="31" bestFit="1" customWidth="1"/>
    <col min="3" max="3" width="9.1640625" bestFit="1" customWidth="1"/>
    <col min="7" max="9" width="16.5" customWidth="1"/>
    <col min="11" max="11" width="12.1640625" bestFit="1" customWidth="1"/>
    <col min="15" max="16" width="24.83203125" customWidth="1"/>
    <col min="17" max="17" width="46.5" customWidth="1"/>
    <col min="19" max="19" width="12.33203125" bestFit="1" customWidth="1"/>
    <col min="20" max="20" width="25.6640625" customWidth="1"/>
    <col min="22" max="22" width="33.1640625" bestFit="1" customWidth="1"/>
  </cols>
  <sheetData>
    <row r="1" spans="2:22" ht="17" thickBot="1" x14ac:dyDescent="0.25"/>
    <row r="2" spans="2:22" ht="29" thickBot="1" x14ac:dyDescent="0.25">
      <c r="B2" s="2" t="s">
        <v>0</v>
      </c>
      <c r="C2" s="2" t="s">
        <v>1</v>
      </c>
      <c r="D2" s="2" t="s">
        <v>2</v>
      </c>
      <c r="E2" s="2" t="s">
        <v>3</v>
      </c>
      <c r="F2" s="1" t="s">
        <v>4</v>
      </c>
      <c r="G2" s="2" t="s">
        <v>5</v>
      </c>
      <c r="H2" s="2" t="s">
        <v>53</v>
      </c>
      <c r="I2" s="2" t="s">
        <v>54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55</v>
      </c>
      <c r="Q2" s="3" t="s">
        <v>12</v>
      </c>
      <c r="S2" s="46" t="s">
        <v>20</v>
      </c>
      <c r="T2" s="46"/>
      <c r="U2" s="7"/>
    </row>
    <row r="3" spans="2:22" ht="61" thickTop="1" x14ac:dyDescent="0.2">
      <c r="B3" s="40" t="s">
        <v>31</v>
      </c>
      <c r="C3" s="16">
        <v>1</v>
      </c>
      <c r="D3" s="16">
        <v>1</v>
      </c>
      <c r="E3" s="21">
        <v>268.3</v>
      </c>
      <c r="F3" s="19">
        <f>IF(AND(ISNUMBER(D3), ISNUMBER(E3)), D3*E3, "")</f>
        <v>268.3</v>
      </c>
      <c r="G3" s="16" t="s">
        <v>23</v>
      </c>
      <c r="H3" s="35">
        <v>46201</v>
      </c>
      <c r="I3" s="30"/>
      <c r="J3" s="30" t="s">
        <v>38</v>
      </c>
      <c r="K3" s="16" t="s">
        <v>13</v>
      </c>
      <c r="L3" s="30" t="s">
        <v>38</v>
      </c>
      <c r="M3" s="16" t="s">
        <v>13</v>
      </c>
      <c r="N3" s="4" t="s">
        <v>39</v>
      </c>
      <c r="O3" s="22" t="s">
        <v>40</v>
      </c>
      <c r="P3" s="22" t="s">
        <v>56</v>
      </c>
      <c r="Q3" s="32" t="s">
        <v>41</v>
      </c>
      <c r="S3" s="8"/>
      <c r="T3" s="9" t="s">
        <v>22</v>
      </c>
      <c r="U3" s="7"/>
    </row>
    <row r="4" spans="2:22" ht="44" customHeight="1" x14ac:dyDescent="0.2">
      <c r="B4" s="40" t="s">
        <v>37</v>
      </c>
      <c r="C4" s="17">
        <v>1</v>
      </c>
      <c r="D4" s="17" t="s">
        <v>13</v>
      </c>
      <c r="E4" s="18">
        <v>56.97</v>
      </c>
      <c r="F4" s="19" t="str">
        <f t="shared" ref="F4:F37" si="0">IF(AND(ISNUMBER(D4), ISNUMBER(E4)), D4*E4, "")</f>
        <v/>
      </c>
      <c r="G4" s="16" t="s">
        <v>25</v>
      </c>
      <c r="H4" s="30"/>
      <c r="I4" s="30"/>
      <c r="J4" s="30" t="s">
        <v>18</v>
      </c>
      <c r="K4" s="17" t="s">
        <v>34</v>
      </c>
      <c r="L4" s="17" t="s">
        <v>35</v>
      </c>
      <c r="M4" s="17"/>
      <c r="N4" s="5" t="s">
        <v>36</v>
      </c>
      <c r="O4" s="25" t="s">
        <v>32</v>
      </c>
      <c r="P4" s="36" t="s">
        <v>15</v>
      </c>
      <c r="Q4" s="32" t="s">
        <v>33</v>
      </c>
      <c r="S4" s="7"/>
      <c r="T4" s="7"/>
      <c r="U4" s="7"/>
    </row>
    <row r="5" spans="2:22" ht="75" x14ac:dyDescent="0.2">
      <c r="B5" s="41" t="s">
        <v>59</v>
      </c>
      <c r="C5" s="16">
        <v>1</v>
      </c>
      <c r="D5" s="17">
        <v>1</v>
      </c>
      <c r="E5" s="18">
        <v>24.99</v>
      </c>
      <c r="F5" s="19">
        <f t="shared" si="0"/>
        <v>24.99</v>
      </c>
      <c r="G5" s="16" t="s">
        <v>17</v>
      </c>
      <c r="H5" s="43">
        <v>46202</v>
      </c>
      <c r="I5" s="43">
        <v>46205</v>
      </c>
      <c r="J5" s="17"/>
      <c r="K5" s="17"/>
      <c r="L5" s="17"/>
      <c r="M5" s="17"/>
      <c r="N5" s="5"/>
      <c r="O5" s="25" t="s">
        <v>58</v>
      </c>
      <c r="P5" s="22" t="s">
        <v>57</v>
      </c>
      <c r="Q5" s="33" t="s">
        <v>15</v>
      </c>
      <c r="S5" s="47" t="s">
        <v>21</v>
      </c>
      <c r="T5" s="47"/>
      <c r="U5" s="7"/>
    </row>
    <row r="6" spans="2:22" x14ac:dyDescent="0.2">
      <c r="B6" s="40" t="s">
        <v>61</v>
      </c>
      <c r="C6" s="17">
        <v>1</v>
      </c>
      <c r="D6" s="17" t="s">
        <v>13</v>
      </c>
      <c r="E6" s="18"/>
      <c r="F6" s="19" t="str">
        <f t="shared" si="0"/>
        <v/>
      </c>
      <c r="G6" s="16" t="s">
        <v>60</v>
      </c>
      <c r="H6" s="17"/>
      <c r="I6" s="17"/>
      <c r="J6" s="17"/>
      <c r="K6" s="17"/>
      <c r="L6" s="17"/>
      <c r="M6" s="17"/>
      <c r="N6" s="5"/>
      <c r="O6" s="23"/>
      <c r="P6" s="37"/>
      <c r="Q6" s="33"/>
      <c r="S6" s="44" t="s">
        <v>60</v>
      </c>
      <c r="T6" s="44"/>
      <c r="U6" s="7"/>
    </row>
    <row r="7" spans="2:22" x14ac:dyDescent="0.2">
      <c r="B7" s="40" t="s">
        <v>62</v>
      </c>
      <c r="C7" s="16">
        <v>1</v>
      </c>
      <c r="D7" s="17" t="s">
        <v>13</v>
      </c>
      <c r="E7" s="18"/>
      <c r="F7" s="19" t="str">
        <f t="shared" si="0"/>
        <v/>
      </c>
      <c r="G7" s="16" t="s">
        <v>60</v>
      </c>
      <c r="H7" s="17"/>
      <c r="I7" s="17"/>
      <c r="J7" s="17"/>
      <c r="K7" s="17"/>
      <c r="L7" s="17"/>
      <c r="M7" s="17"/>
      <c r="N7" s="5"/>
      <c r="O7" s="23"/>
      <c r="P7" s="37"/>
      <c r="Q7" s="33"/>
      <c r="S7" s="48" t="s">
        <v>17</v>
      </c>
      <c r="T7" s="48"/>
      <c r="U7" s="7"/>
    </row>
    <row r="8" spans="2:22" x14ac:dyDescent="0.2">
      <c r="B8" s="40" t="s">
        <v>42</v>
      </c>
      <c r="C8" s="17"/>
      <c r="D8" s="17"/>
      <c r="E8" s="18"/>
      <c r="F8" s="19" t="str">
        <f t="shared" si="0"/>
        <v/>
      </c>
      <c r="G8" s="16" t="s">
        <v>14</v>
      </c>
      <c r="H8" s="31"/>
      <c r="I8" s="31"/>
      <c r="J8" s="31"/>
      <c r="K8" s="17"/>
      <c r="L8" s="17"/>
      <c r="M8" s="17"/>
      <c r="N8" s="5"/>
      <c r="O8" s="24"/>
      <c r="P8" s="38" t="s">
        <v>15</v>
      </c>
      <c r="Q8" s="33"/>
      <c r="S8" s="49" t="s">
        <v>19</v>
      </c>
      <c r="T8" s="49"/>
      <c r="U8" s="7"/>
    </row>
    <row r="9" spans="2:22" x14ac:dyDescent="0.2">
      <c r="B9" s="40" t="s">
        <v>43</v>
      </c>
      <c r="C9" s="16"/>
      <c r="D9" s="17"/>
      <c r="E9" s="18"/>
      <c r="F9" s="19" t="str">
        <f t="shared" si="0"/>
        <v/>
      </c>
      <c r="G9" s="16" t="s">
        <v>14</v>
      </c>
      <c r="H9" s="17"/>
      <c r="I9" s="17"/>
      <c r="J9" s="17"/>
      <c r="K9" s="17"/>
      <c r="L9" s="17"/>
      <c r="M9" s="17"/>
      <c r="N9" s="5"/>
      <c r="O9" s="23"/>
      <c r="P9" s="37"/>
      <c r="Q9" s="33"/>
      <c r="S9" s="50" t="s">
        <v>23</v>
      </c>
      <c r="T9" s="50"/>
      <c r="U9" s="7"/>
    </row>
    <row r="10" spans="2:22" x14ac:dyDescent="0.2">
      <c r="B10" s="40" t="s">
        <v>44</v>
      </c>
      <c r="C10" s="17"/>
      <c r="D10" s="17"/>
      <c r="E10" s="18"/>
      <c r="F10" s="19" t="str">
        <f t="shared" si="0"/>
        <v/>
      </c>
      <c r="G10" s="16" t="s">
        <v>14</v>
      </c>
      <c r="H10" s="17"/>
      <c r="I10" s="17"/>
      <c r="J10" s="17"/>
      <c r="K10" s="17"/>
      <c r="L10" s="17"/>
      <c r="M10" s="17"/>
      <c r="N10" s="5"/>
      <c r="O10" s="23"/>
      <c r="P10" s="37"/>
      <c r="Q10" s="33"/>
      <c r="S10" s="51" t="s">
        <v>24</v>
      </c>
      <c r="T10" s="51"/>
      <c r="U10" s="7"/>
    </row>
    <row r="11" spans="2:22" x14ac:dyDescent="0.2">
      <c r="B11" s="40" t="s">
        <v>45</v>
      </c>
      <c r="C11" s="16"/>
      <c r="D11" s="17"/>
      <c r="E11" s="18"/>
      <c r="F11" s="19" t="str">
        <f t="shared" si="0"/>
        <v/>
      </c>
      <c r="G11" s="16" t="s">
        <v>14</v>
      </c>
      <c r="H11" s="17"/>
      <c r="I11" s="17"/>
      <c r="J11" s="17"/>
      <c r="K11" s="17"/>
      <c r="L11" s="17"/>
      <c r="M11" s="17"/>
      <c r="N11" s="5"/>
      <c r="O11" s="23"/>
      <c r="P11" s="37"/>
      <c r="Q11" s="33"/>
      <c r="S11" s="52" t="s">
        <v>25</v>
      </c>
      <c r="T11" s="52"/>
      <c r="U11" s="7"/>
    </row>
    <row r="12" spans="2:22" x14ac:dyDescent="0.2">
      <c r="B12" s="40" t="s">
        <v>46</v>
      </c>
      <c r="C12" s="17"/>
      <c r="D12" s="17"/>
      <c r="E12" s="18"/>
      <c r="F12" s="19" t="str">
        <f t="shared" si="0"/>
        <v/>
      </c>
      <c r="G12" s="16" t="s">
        <v>14</v>
      </c>
      <c r="H12" s="17"/>
      <c r="I12" s="17"/>
      <c r="J12" s="17"/>
      <c r="K12" s="17"/>
      <c r="L12" s="17"/>
      <c r="M12" s="17"/>
      <c r="N12" s="5"/>
      <c r="O12" s="23"/>
      <c r="P12" s="37"/>
      <c r="Q12" s="33"/>
      <c r="S12" s="53" t="s">
        <v>26</v>
      </c>
      <c r="T12" s="53"/>
      <c r="U12" s="7"/>
    </row>
    <row r="13" spans="2:22" x14ac:dyDescent="0.2">
      <c r="B13" s="40" t="s">
        <v>47</v>
      </c>
      <c r="C13" s="17"/>
      <c r="D13" s="17"/>
      <c r="E13" s="18"/>
      <c r="F13" s="19" t="str">
        <f t="shared" si="0"/>
        <v/>
      </c>
      <c r="G13" s="16" t="s">
        <v>14</v>
      </c>
      <c r="H13" s="30"/>
      <c r="I13" s="30"/>
      <c r="J13" s="30"/>
      <c r="K13" s="17"/>
      <c r="L13" s="17"/>
      <c r="M13" s="17"/>
      <c r="N13" s="5"/>
      <c r="O13" s="20"/>
      <c r="P13" s="36"/>
      <c r="Q13" s="33"/>
      <c r="S13" s="54" t="s">
        <v>27</v>
      </c>
      <c r="T13" s="54"/>
      <c r="U13" s="7"/>
    </row>
    <row r="14" spans="2:22" x14ac:dyDescent="0.2">
      <c r="B14" s="40" t="s">
        <v>48</v>
      </c>
      <c r="C14" s="16"/>
      <c r="D14" s="17"/>
      <c r="E14" s="18"/>
      <c r="F14" s="19" t="str">
        <f t="shared" si="0"/>
        <v/>
      </c>
      <c r="G14" s="16" t="s">
        <v>14</v>
      </c>
      <c r="H14" s="17"/>
      <c r="I14" s="17"/>
      <c r="J14" s="17"/>
      <c r="K14" s="17"/>
      <c r="L14" s="17"/>
      <c r="M14" s="17"/>
      <c r="N14" s="5"/>
      <c r="O14" s="23"/>
      <c r="P14" s="37"/>
      <c r="Q14" s="33"/>
      <c r="S14" s="55" t="s">
        <v>16</v>
      </c>
      <c r="T14" s="55"/>
      <c r="U14" s="7"/>
    </row>
    <row r="15" spans="2:22" x14ac:dyDescent="0.2">
      <c r="B15" s="40" t="s">
        <v>49</v>
      </c>
      <c r="C15" s="17"/>
      <c r="D15" s="17"/>
      <c r="E15" s="18"/>
      <c r="F15" s="19" t="str">
        <f t="shared" si="0"/>
        <v/>
      </c>
      <c r="G15" s="16" t="s">
        <v>14</v>
      </c>
      <c r="H15" s="17"/>
      <c r="I15" s="17"/>
      <c r="J15" s="17"/>
      <c r="K15" s="17"/>
      <c r="L15" s="17"/>
      <c r="M15" s="17"/>
      <c r="N15" s="5"/>
      <c r="O15" s="25"/>
      <c r="P15" s="22"/>
      <c r="Q15" s="33"/>
      <c r="S15" s="45" t="s">
        <v>14</v>
      </c>
      <c r="T15" s="45"/>
      <c r="U15" s="7"/>
    </row>
    <row r="16" spans="2:22" x14ac:dyDescent="0.2">
      <c r="B16" s="40" t="s">
        <v>50</v>
      </c>
      <c r="C16" s="17"/>
      <c r="D16" s="17"/>
      <c r="E16" s="18"/>
      <c r="F16" s="19" t="str">
        <f t="shared" si="0"/>
        <v/>
      </c>
      <c r="G16" s="16" t="s">
        <v>14</v>
      </c>
      <c r="H16" s="30"/>
      <c r="I16" s="30"/>
      <c r="J16" s="30"/>
      <c r="K16" s="17"/>
      <c r="L16" s="17"/>
      <c r="M16" s="17"/>
      <c r="N16" s="5"/>
      <c r="O16" s="20"/>
      <c r="P16" s="36"/>
      <c r="Q16" s="33"/>
      <c r="U16" s="7"/>
      <c r="V16" s="7"/>
    </row>
    <row r="17" spans="2:22" x14ac:dyDescent="0.2">
      <c r="B17" s="40" t="s">
        <v>51</v>
      </c>
      <c r="C17" s="16"/>
      <c r="D17" s="17"/>
      <c r="E17" s="18"/>
      <c r="F17" s="19" t="str">
        <f t="shared" si="0"/>
        <v/>
      </c>
      <c r="G17" s="16" t="s">
        <v>14</v>
      </c>
      <c r="H17" s="17"/>
      <c r="I17" s="17"/>
      <c r="J17" s="17"/>
      <c r="K17" s="17"/>
      <c r="L17" s="17"/>
      <c r="M17" s="17"/>
      <c r="N17" s="5"/>
      <c r="O17" s="25"/>
      <c r="P17" s="22"/>
      <c r="Q17" s="33"/>
      <c r="S17" s="7"/>
      <c r="V17" s="7"/>
    </row>
    <row r="18" spans="2:22" x14ac:dyDescent="0.2">
      <c r="B18" s="40" t="s">
        <v>52</v>
      </c>
      <c r="C18" s="17"/>
      <c r="D18" s="17"/>
      <c r="E18" s="18"/>
      <c r="F18" s="19" t="str">
        <f t="shared" si="0"/>
        <v/>
      </c>
      <c r="G18" s="16" t="s">
        <v>14</v>
      </c>
      <c r="H18" s="17"/>
      <c r="I18" s="17"/>
      <c r="J18" s="17"/>
      <c r="K18" s="17"/>
      <c r="L18" s="17"/>
      <c r="M18" s="17"/>
      <c r="N18" s="5"/>
      <c r="O18" s="23"/>
      <c r="P18" s="37"/>
      <c r="Q18" s="33"/>
      <c r="S18" s="7"/>
      <c r="V18" s="7"/>
    </row>
    <row r="19" spans="2:22" x14ac:dyDescent="0.2">
      <c r="B19" s="40"/>
      <c r="C19" s="16"/>
      <c r="D19" s="17"/>
      <c r="E19" s="18"/>
      <c r="F19" s="19" t="str">
        <f t="shared" si="0"/>
        <v/>
      </c>
      <c r="G19" s="16" t="s">
        <v>14</v>
      </c>
      <c r="H19" s="17"/>
      <c r="I19" s="17"/>
      <c r="J19" s="17"/>
      <c r="K19" s="17"/>
      <c r="L19" s="17"/>
      <c r="M19" s="17"/>
      <c r="N19" s="5"/>
      <c r="O19" s="23"/>
      <c r="P19" s="37"/>
      <c r="Q19" s="33"/>
      <c r="S19" s="7"/>
      <c r="V19" s="7"/>
    </row>
    <row r="20" spans="2:22" x14ac:dyDescent="0.2">
      <c r="B20" s="40"/>
      <c r="C20" s="16"/>
      <c r="D20" s="17"/>
      <c r="E20" s="18"/>
      <c r="F20" s="19" t="str">
        <f t="shared" si="0"/>
        <v/>
      </c>
      <c r="G20" s="16" t="s">
        <v>14</v>
      </c>
      <c r="H20" s="30"/>
      <c r="I20" s="30"/>
      <c r="J20" s="30"/>
      <c r="K20" s="17"/>
      <c r="L20" s="17"/>
      <c r="M20" s="17"/>
      <c r="N20" s="5"/>
      <c r="O20" s="20"/>
      <c r="P20" s="36"/>
      <c r="Q20" s="33"/>
      <c r="S20" s="7"/>
      <c r="V20" s="7"/>
    </row>
    <row r="21" spans="2:22" x14ac:dyDescent="0.2">
      <c r="B21" s="40"/>
      <c r="C21" s="17"/>
      <c r="D21" s="17"/>
      <c r="E21" s="18"/>
      <c r="F21" s="19" t="str">
        <f t="shared" si="0"/>
        <v/>
      </c>
      <c r="G21" s="16" t="s">
        <v>14</v>
      </c>
      <c r="H21" s="30"/>
      <c r="I21" s="30"/>
      <c r="J21" s="30"/>
      <c r="K21" s="17"/>
      <c r="L21" s="17"/>
      <c r="M21" s="17"/>
      <c r="N21" s="5"/>
      <c r="O21" s="20"/>
      <c r="P21" s="36"/>
      <c r="Q21" s="33"/>
    </row>
    <row r="22" spans="2:22" x14ac:dyDescent="0.2">
      <c r="B22" s="40"/>
      <c r="C22" s="16"/>
      <c r="D22" s="17"/>
      <c r="E22" s="18"/>
      <c r="F22" s="19" t="str">
        <f t="shared" si="0"/>
        <v/>
      </c>
      <c r="G22" s="16" t="s">
        <v>14</v>
      </c>
      <c r="H22" s="17"/>
      <c r="I22" s="17"/>
      <c r="J22" s="17"/>
      <c r="K22" s="17"/>
      <c r="L22" s="17"/>
      <c r="M22" s="17"/>
      <c r="N22" s="5"/>
      <c r="O22" s="23"/>
      <c r="P22" s="37"/>
      <c r="Q22" s="33"/>
    </row>
    <row r="23" spans="2:22" ht="17" thickBot="1" x14ac:dyDescent="0.25">
      <c r="B23" s="40"/>
      <c r="C23" s="17"/>
      <c r="D23" s="17"/>
      <c r="E23" s="18"/>
      <c r="F23" s="19" t="str">
        <f t="shared" si="0"/>
        <v/>
      </c>
      <c r="G23" s="16" t="s">
        <v>14</v>
      </c>
      <c r="H23" s="17"/>
      <c r="I23" s="17"/>
      <c r="J23" s="17"/>
      <c r="K23" s="17"/>
      <c r="L23" s="17"/>
      <c r="M23" s="17"/>
      <c r="N23" s="5"/>
      <c r="O23" s="20"/>
      <c r="P23" s="36"/>
      <c r="Q23" s="33"/>
    </row>
    <row r="24" spans="2:22" x14ac:dyDescent="0.2">
      <c r="B24" s="40"/>
      <c r="C24" s="16"/>
      <c r="D24" s="17"/>
      <c r="E24" s="18"/>
      <c r="F24" s="19" t="str">
        <f t="shared" si="0"/>
        <v/>
      </c>
      <c r="G24" s="16" t="s">
        <v>14</v>
      </c>
      <c r="H24" s="17"/>
      <c r="I24" s="17"/>
      <c r="J24" s="17"/>
      <c r="K24" s="17"/>
      <c r="L24" s="17"/>
      <c r="M24" s="17"/>
      <c r="N24" s="5"/>
      <c r="O24" s="20"/>
      <c r="P24" s="36"/>
      <c r="Q24" s="33"/>
      <c r="S24" s="10" t="s">
        <v>28</v>
      </c>
      <c r="T24" s="11">
        <v>2000</v>
      </c>
    </row>
    <row r="25" spans="2:22" ht="17" thickBot="1" x14ac:dyDescent="0.25">
      <c r="B25" s="40"/>
      <c r="C25" s="17"/>
      <c r="D25" s="17"/>
      <c r="E25" s="18"/>
      <c r="F25" s="19" t="str">
        <f t="shared" si="0"/>
        <v/>
      </c>
      <c r="G25" s="16" t="s">
        <v>14</v>
      </c>
      <c r="H25" s="30"/>
      <c r="I25" s="30"/>
      <c r="J25" s="30"/>
      <c r="K25" s="17"/>
      <c r="L25" s="17"/>
      <c r="M25" s="17"/>
      <c r="N25" s="5"/>
      <c r="O25" s="20"/>
      <c r="P25" s="36"/>
      <c r="Q25" s="33"/>
      <c r="S25" s="12" t="s">
        <v>29</v>
      </c>
      <c r="T25" s="13">
        <f>SUM(F3:F37)</f>
        <v>293.29000000000002</v>
      </c>
    </row>
    <row r="26" spans="2:22" ht="17" thickBot="1" x14ac:dyDescent="0.25">
      <c r="B26" s="40"/>
      <c r="C26" s="16"/>
      <c r="D26" s="17"/>
      <c r="E26" s="18"/>
      <c r="F26" s="19" t="str">
        <f t="shared" si="0"/>
        <v/>
      </c>
      <c r="G26" s="16" t="s">
        <v>14</v>
      </c>
      <c r="H26" s="17"/>
      <c r="I26" s="17"/>
      <c r="J26" s="17"/>
      <c r="K26" s="17"/>
      <c r="L26" s="17"/>
      <c r="M26" s="17"/>
      <c r="N26" s="5"/>
      <c r="O26" s="20"/>
      <c r="P26" s="36"/>
      <c r="Q26" s="33"/>
      <c r="S26" s="14" t="s">
        <v>30</v>
      </c>
      <c r="T26" s="15">
        <f>T24-T25</f>
        <v>1706.71</v>
      </c>
    </row>
    <row r="27" spans="2:22" x14ac:dyDescent="0.2">
      <c r="B27" s="40"/>
      <c r="C27" s="17"/>
      <c r="D27" s="17"/>
      <c r="E27" s="18"/>
      <c r="F27" s="19" t="str">
        <f t="shared" si="0"/>
        <v/>
      </c>
      <c r="G27" s="16" t="s">
        <v>14</v>
      </c>
      <c r="H27" s="17"/>
      <c r="I27" s="17"/>
      <c r="J27" s="17"/>
      <c r="K27" s="17"/>
      <c r="L27" s="17"/>
      <c r="M27" s="17"/>
      <c r="N27" s="5"/>
      <c r="O27" s="20"/>
      <c r="P27" s="36"/>
      <c r="Q27" s="33"/>
    </row>
    <row r="28" spans="2:22" x14ac:dyDescent="0.2">
      <c r="B28" s="40"/>
      <c r="C28" s="16"/>
      <c r="D28" s="17"/>
      <c r="E28" s="18"/>
      <c r="F28" s="19" t="str">
        <f t="shared" si="0"/>
        <v/>
      </c>
      <c r="G28" s="16" t="s">
        <v>14</v>
      </c>
      <c r="H28" s="17"/>
      <c r="I28" s="17"/>
      <c r="J28" s="17"/>
      <c r="K28" s="17"/>
      <c r="L28" s="17"/>
      <c r="M28" s="17"/>
      <c r="N28" s="5"/>
      <c r="O28" s="23"/>
      <c r="P28" s="37"/>
      <c r="Q28" s="33"/>
    </row>
    <row r="29" spans="2:22" x14ac:dyDescent="0.2">
      <c r="B29" s="40"/>
      <c r="C29" s="17"/>
      <c r="D29" s="17"/>
      <c r="E29" s="18"/>
      <c r="F29" s="19" t="str">
        <f t="shared" si="0"/>
        <v/>
      </c>
      <c r="G29" s="16" t="s">
        <v>14</v>
      </c>
      <c r="H29" s="17"/>
      <c r="I29" s="17"/>
      <c r="J29" s="17"/>
      <c r="K29" s="17"/>
      <c r="L29" s="17"/>
      <c r="M29" s="17"/>
      <c r="N29" s="5"/>
      <c r="O29" s="23"/>
      <c r="P29" s="37"/>
      <c r="Q29" s="33"/>
    </row>
    <row r="30" spans="2:22" x14ac:dyDescent="0.2">
      <c r="B30" s="40"/>
      <c r="C30" s="16"/>
      <c r="D30" s="17"/>
      <c r="E30" s="18"/>
      <c r="F30" s="19" t="str">
        <f t="shared" si="0"/>
        <v/>
      </c>
      <c r="G30" s="16" t="s">
        <v>14</v>
      </c>
      <c r="H30" s="17"/>
      <c r="I30" s="17"/>
      <c r="J30" s="17"/>
      <c r="K30" s="17"/>
      <c r="L30" s="17"/>
      <c r="M30" s="17"/>
      <c r="N30" s="5"/>
      <c r="O30" s="23"/>
      <c r="P30" s="37"/>
      <c r="Q30" s="33"/>
    </row>
    <row r="31" spans="2:22" x14ac:dyDescent="0.2">
      <c r="B31" s="40"/>
      <c r="C31" s="17"/>
      <c r="D31" s="17"/>
      <c r="E31" s="18"/>
      <c r="F31" s="19" t="str">
        <f t="shared" si="0"/>
        <v/>
      </c>
      <c r="G31" s="16" t="s">
        <v>14</v>
      </c>
      <c r="H31" s="17"/>
      <c r="I31" s="17"/>
      <c r="J31" s="17"/>
      <c r="K31" s="17"/>
      <c r="L31" s="17"/>
      <c r="M31" s="17"/>
      <c r="N31" s="5"/>
      <c r="O31" s="23"/>
      <c r="P31" s="37"/>
      <c r="Q31" s="33"/>
    </row>
    <row r="32" spans="2:22" x14ac:dyDescent="0.2">
      <c r="B32" s="40"/>
      <c r="C32" s="17"/>
      <c r="D32" s="17"/>
      <c r="E32" s="18"/>
      <c r="F32" s="19" t="str">
        <f t="shared" si="0"/>
        <v/>
      </c>
      <c r="G32" s="16" t="s">
        <v>14</v>
      </c>
      <c r="H32" s="17"/>
      <c r="I32" s="17"/>
      <c r="J32" s="17"/>
      <c r="K32" s="17"/>
      <c r="L32" s="17"/>
      <c r="M32" s="17"/>
      <c r="N32" s="5"/>
      <c r="O32" s="23"/>
      <c r="P32" s="37"/>
      <c r="Q32" s="33"/>
    </row>
    <row r="33" spans="2:17" x14ac:dyDescent="0.2">
      <c r="B33" s="40"/>
      <c r="C33" s="16"/>
      <c r="D33" s="17"/>
      <c r="E33" s="18"/>
      <c r="F33" s="19" t="str">
        <f t="shared" si="0"/>
        <v/>
      </c>
      <c r="G33" s="16" t="s">
        <v>14</v>
      </c>
      <c r="H33" s="17"/>
      <c r="I33" s="17"/>
      <c r="J33" s="17"/>
      <c r="K33" s="17"/>
      <c r="L33" s="17"/>
      <c r="M33" s="17"/>
      <c r="N33" s="5"/>
      <c r="O33" s="23"/>
      <c r="P33" s="37"/>
      <c r="Q33" s="33"/>
    </row>
    <row r="34" spans="2:17" x14ac:dyDescent="0.2">
      <c r="B34" s="40"/>
      <c r="C34" s="17"/>
      <c r="D34" s="17"/>
      <c r="E34" s="18"/>
      <c r="F34" s="19" t="str">
        <f t="shared" si="0"/>
        <v/>
      </c>
      <c r="G34" s="16" t="s">
        <v>14</v>
      </c>
      <c r="H34" s="17"/>
      <c r="I34" s="17"/>
      <c r="J34" s="17"/>
      <c r="K34" s="17"/>
      <c r="L34" s="17"/>
      <c r="M34" s="17"/>
      <c r="N34" s="5"/>
      <c r="O34" s="23"/>
      <c r="P34" s="37"/>
      <c r="Q34" s="33"/>
    </row>
    <row r="35" spans="2:17" x14ac:dyDescent="0.2">
      <c r="B35" s="40"/>
      <c r="C35" s="17"/>
      <c r="D35" s="17"/>
      <c r="E35" s="18"/>
      <c r="F35" s="19" t="str">
        <f t="shared" si="0"/>
        <v/>
      </c>
      <c r="G35" s="16" t="s">
        <v>14</v>
      </c>
      <c r="H35" s="17"/>
      <c r="I35" s="17"/>
      <c r="J35" s="17"/>
      <c r="K35" s="17"/>
      <c r="L35" s="17"/>
      <c r="M35" s="17"/>
      <c r="N35" s="5"/>
      <c r="O35" s="23"/>
      <c r="P35" s="37"/>
      <c r="Q35" s="33"/>
    </row>
    <row r="36" spans="2:17" x14ac:dyDescent="0.2">
      <c r="B36" s="40"/>
      <c r="C36" s="17"/>
      <c r="D36" s="17"/>
      <c r="E36" s="18"/>
      <c r="F36" s="19" t="str">
        <f t="shared" si="0"/>
        <v/>
      </c>
      <c r="G36" s="16" t="s">
        <v>14</v>
      </c>
      <c r="H36" s="17"/>
      <c r="I36" s="17"/>
      <c r="J36" s="17"/>
      <c r="K36" s="17"/>
      <c r="L36" s="17"/>
      <c r="M36" s="17"/>
      <c r="N36" s="5"/>
      <c r="O36" s="23"/>
      <c r="P36" s="37"/>
      <c r="Q36" s="33"/>
    </row>
    <row r="37" spans="2:17" ht="17" thickBot="1" x14ac:dyDescent="0.25">
      <c r="B37" s="42"/>
      <c r="C37" s="26"/>
      <c r="D37" s="26"/>
      <c r="E37" s="27"/>
      <c r="F37" s="28" t="str">
        <f t="shared" si="0"/>
        <v/>
      </c>
      <c r="G37" s="26" t="s">
        <v>14</v>
      </c>
      <c r="H37" s="26"/>
      <c r="I37" s="26"/>
      <c r="J37" s="26"/>
      <c r="K37" s="26"/>
      <c r="L37" s="26"/>
      <c r="M37" s="26"/>
      <c r="N37" s="6"/>
      <c r="O37" s="29"/>
      <c r="P37" s="39"/>
      <c r="Q37" s="34"/>
    </row>
  </sheetData>
  <mergeCells count="12">
    <mergeCell ref="S6:T6"/>
    <mergeCell ref="S15:T15"/>
    <mergeCell ref="S2:T2"/>
    <mergeCell ref="S5:T5"/>
    <mergeCell ref="S7:T7"/>
    <mergeCell ref="S8:T8"/>
    <mergeCell ref="S9:T9"/>
    <mergeCell ref="S10:T10"/>
    <mergeCell ref="S11:T11"/>
    <mergeCell ref="S12:T12"/>
    <mergeCell ref="S13:T13"/>
    <mergeCell ref="S14:T14"/>
  </mergeCells>
  <conditionalFormatting sqref="G3:G37">
    <cfRule type="cellIs" dxfId="18" priority="1" operator="equal">
      <formula>$S$6</formula>
    </cfRule>
    <cfRule type="cellIs" dxfId="17" priority="47" operator="equal">
      <formula>$S$14</formula>
    </cfRule>
    <cfRule type="cellIs" dxfId="16" priority="48" operator="equal">
      <formula>$S$13</formula>
    </cfRule>
    <cfRule type="cellIs" dxfId="15" priority="49" operator="equal">
      <formula>$S$12</formula>
    </cfRule>
    <cfRule type="cellIs" dxfId="14" priority="50" operator="equal">
      <formula>$S$11</formula>
    </cfRule>
    <cfRule type="cellIs" dxfId="13" priority="51" operator="equal">
      <formula>$S$10</formula>
    </cfRule>
    <cfRule type="cellIs" dxfId="12" priority="52" operator="equal">
      <formula>$S$9</formula>
    </cfRule>
    <cfRule type="cellIs" dxfId="11" priority="53" operator="equal">
      <formula>$S$8</formula>
    </cfRule>
    <cfRule type="containsText" dxfId="10" priority="54" operator="containsText" text="Received/Delivered">
      <formula>NOT(ISERROR(SEARCH("Received/Delivered",G3)))</formula>
    </cfRule>
    <cfRule type="cellIs" dxfId="9" priority="55" operator="equal">
      <formula>$S$15</formula>
    </cfRule>
  </conditionalFormatting>
  <conditionalFormatting sqref="G4:G37">
    <cfRule type="expression" dxfId="8" priority="20">
      <formula>G4=$AC$10</formula>
    </cfRule>
    <cfRule type="expression" dxfId="7" priority="21">
      <formula>G4=$AC$9</formula>
    </cfRule>
    <cfRule type="expression" dxfId="6" priority="22">
      <formula>G4=$AC$8</formula>
    </cfRule>
    <cfRule type="expression" dxfId="5" priority="23">
      <formula>G4=$AC$7</formula>
    </cfRule>
    <cfRule type="expression" dxfId="4" priority="24">
      <formula>G4=$AC$6</formula>
    </cfRule>
    <cfRule type="expression" dxfId="3" priority="25">
      <formula>G4=$AC$5</formula>
    </cfRule>
    <cfRule type="expression" dxfId="2" priority="26">
      <formula>G4=$AC$4</formula>
    </cfRule>
    <cfRule type="expression" dxfId="1" priority="27">
      <formula>G4=$AC$3</formula>
    </cfRule>
    <cfRule type="expression" dxfId="0" priority="28">
      <formula>G4=$AC$2</formula>
    </cfRule>
  </conditionalFormatting>
  <dataValidations count="1">
    <dataValidation type="list" allowBlank="1" showInputMessage="1" showErrorMessage="1" sqref="G3:G37" xr:uid="{E79D009E-1FC5-344B-B22B-A284ED74F5B4}">
      <formula1>$S$6:$S$15</formula1>
    </dataValidation>
  </dataValidations>
  <hyperlinks>
    <hyperlink ref="O3" r:id="rId1" xr:uid="{82262934-8303-EE4F-A1D5-D3C9B4E43184}"/>
    <hyperlink ref="O4" r:id="rId2" xr:uid="{C1AF3C23-1A5A-4813-A153-589DB24AD067}"/>
    <hyperlink ref="P3" r:id="rId3" xr:uid="{72961FDD-8858-432E-8E2C-06893D7B206D}"/>
    <hyperlink ref="P5" r:id="rId4" xr:uid="{8F840528-6D9F-4456-8BB5-74A65BFEE351}"/>
    <hyperlink ref="O5" r:id="rId5" display="https://vilros.com/products/vilros-soldering-iron-kit-electronics-14-in-1-60w-adjustable-temperature-soldering-iron-with-on-off-switch-5pcs-soldering-iron-tips-desoldering-pump-tweezers-stand-solder-pu-carry-bag?variant=31184817684574&amp;country=US&amp;currency=USD&amp;utm_medium=product_sync&amp;utm_source=google&amp;utm_content=sag_organic&amp;utm_campaign=sag_organic&amp;tw_source=google&amp;tw_adid=&amp;tw_campaign=18070425970&amp;gad_source=1&amp;gad_campaignid=17177576781&amp;gbraid=0AAAAAD1QJAhpwOz4TG9imhRizOjsiF33r&amp;gclid=Cj0KCQjwr4jSBhCSARIsAOX1E-IcDf7VArvc12fU96XQu_eogR6Cku3p0W322S9UE6enAxh-gCdhcRkaApEYEALw_wcB" xr:uid="{F8EE24A7-3DF2-4835-8818-4CF5FD2EFD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Ventimiglia</dc:creator>
  <cp:lastModifiedBy>Antonio Ventimiglia</cp:lastModifiedBy>
  <dcterms:created xsi:type="dcterms:W3CDTF">2026-06-29T05:33:15Z</dcterms:created>
  <dcterms:modified xsi:type="dcterms:W3CDTF">2026-07-02T22:16:06Z</dcterms:modified>
</cp:coreProperties>
</file>